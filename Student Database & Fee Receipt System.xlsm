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ukul\Desktop\Projects\Excel Project\"/>
    </mc:Choice>
  </mc:AlternateContent>
  <xr:revisionPtr revIDLastSave="0" documentId="13_ncr:1_{AD5209AC-7236-44DA-9431-0E997BF47DA1}" xr6:coauthVersionLast="47" xr6:coauthVersionMax="47" xr10:uidLastSave="{00000000-0000-0000-0000-000000000000}"/>
  <bookViews>
    <workbookView xWindow="-108" yWindow="-108" windowWidth="23256" windowHeight="13896" activeTab="1" xr2:uid="{75EA46C3-DE5A-4821-B768-C03FA982D261}"/>
  </bookViews>
  <sheets>
    <sheet name="Students's Database" sheetId="1" r:id="rId1"/>
    <sheet name="Fees Receipt" sheetId="2" r:id="rId2"/>
  </sheets>
  <functionGroups builtInGroupCount="19"/>
  <definedNames>
    <definedName name="field">'Students''s Database'!$A$4:$S$4</definedName>
    <definedName name="_xlnm.Print_Area" localSheetId="1">'Fees Receipt'!$B$2:$H$22</definedName>
    <definedName name="student">'Students''s Database'!$A$1:$S$19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2" l="1"/>
  <c r="G9" i="2"/>
  <c r="G8" i="2"/>
  <c r="G7" i="2"/>
  <c r="C7" i="2"/>
  <c r="C6" i="2"/>
  <c r="E5" i="2"/>
  <c r="R6" i="1"/>
  <c r="R7" i="1"/>
  <c r="R8" i="1"/>
  <c r="R9" i="1"/>
  <c r="R10" i="1"/>
  <c r="R11" i="1"/>
  <c r="S11" i="1" s="1"/>
  <c r="R12" i="1"/>
  <c r="S12" i="1" s="1"/>
  <c r="R13" i="1"/>
  <c r="S13" i="1" s="1"/>
  <c r="R14" i="1"/>
  <c r="S14" i="1" s="1"/>
  <c r="R15" i="1"/>
  <c r="S15" i="1" s="1"/>
  <c r="R16" i="1"/>
  <c r="S16" i="1" s="1"/>
  <c r="R17" i="1"/>
  <c r="S17" i="1" s="1"/>
  <c r="R18" i="1"/>
  <c r="R19" i="1"/>
  <c r="R5" i="1"/>
  <c r="S8" i="1"/>
  <c r="S9" i="1"/>
  <c r="S10" i="1"/>
  <c r="S18" i="1"/>
  <c r="S19" i="1"/>
  <c r="S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5" i="1"/>
  <c r="G5" i="2"/>
  <c r="C10" i="2" a="1"/>
  <c r="C10" i="2" l="1"/>
  <c r="S7" i="1"/>
  <c r="S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<sst xmlns="http://schemas.openxmlformats.org/spreadsheetml/2006/main" count="61" uniqueCount="55">
  <si>
    <t>Reg.No.</t>
  </si>
  <si>
    <t>Gaurdian's Name</t>
  </si>
  <si>
    <t>Course</t>
  </si>
  <si>
    <t>Course Fees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</si>
  <si>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</si>
  <si>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</si>
  <si>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</si>
  <si>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</si>
  <si>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</si>
  <si>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</si>
  <si>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</si>
  <si>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</si>
  <si>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</si>
  <si>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</si>
  <si>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</si>
  <si>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</si>
  <si>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 xml:space="preserve">Received Fees </t>
  </si>
  <si>
    <t>Remaining Fees</t>
  </si>
  <si>
    <t>NKS1</t>
  </si>
  <si>
    <t>NKS2</t>
  </si>
  <si>
    <t>NKS3</t>
  </si>
  <si>
    <t>NKS4</t>
  </si>
  <si>
    <t>NKS5</t>
  </si>
  <si>
    <t>NKS6</t>
  </si>
  <si>
    <t>NKS7</t>
  </si>
  <si>
    <t>NKS8</t>
  </si>
  <si>
    <t>NKS9</t>
  </si>
  <si>
    <t>NKS10</t>
  </si>
  <si>
    <t>NKS11</t>
  </si>
  <si>
    <t>NKS12</t>
  </si>
  <si>
    <t>NKS13</t>
  </si>
  <si>
    <t>NKS14</t>
  </si>
  <si>
    <t>NKS15</t>
  </si>
  <si>
    <t>Shivam</t>
  </si>
  <si>
    <t>Deepak</t>
  </si>
  <si>
    <t>Autocad</t>
  </si>
  <si>
    <t>NKS Coding Area</t>
  </si>
  <si>
    <t>Fees Receipt</t>
  </si>
  <si>
    <t>Sadar, Meerut (U.P.)  Pin Code - 250002</t>
  </si>
  <si>
    <t>Reg No</t>
  </si>
  <si>
    <t>Date</t>
  </si>
  <si>
    <t>Student's Name</t>
  </si>
  <si>
    <t>Month</t>
  </si>
  <si>
    <t>Paid Amount</t>
  </si>
  <si>
    <t>/-</t>
  </si>
  <si>
    <t>Amount in Words</t>
  </si>
  <si>
    <t>Signature</t>
  </si>
  <si>
    <t>DS</t>
  </si>
  <si>
    <t>Nikhil</t>
  </si>
  <si>
    <t>Himanshu</t>
  </si>
  <si>
    <t xml:space="preserve">     NKS CODING AREA</t>
  </si>
  <si>
    <t xml:space="preserve">               THE DIGITAL IT SOLUTION</t>
  </si>
  <si>
    <t>Naman</t>
  </si>
  <si>
    <t xml:space="preserve">Krishna </t>
  </si>
  <si>
    <t>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</si>
</sst>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2"/>
      <color theme="0"/>
      <name val="Imprint MT Shadow"/>
      <family val="5"/>
    </font>
    <font>
      <b/>
      <sz val="12"/>
      <color theme="1" tint="4.9989318521683403E-2"/>
      <name val="Imprint MT Shadow"/>
      <family val="5"/>
    </font>
    <font>
      <b/>
      <sz val="14"/>
      <color theme="4" tint="-0.249977111117893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0"/>
      <name val="Segoe UI Variable Display Semib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6699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DF93D"/>
        <bgColor indexed="64"/>
      </patternFill>
    </fill>
    <fill>
      <patternFill patternType="solid">
        <fgColor rgb="FFC00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1" xfId="0" applyBorder="1"/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2" fillId="0" borderId="6" xfId="0" applyNumberFormat="1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top"/>
    </xf>
    <xf numFmtId="0" fontId="8" fillId="3" borderId="2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right"/>
    </xf>
    <xf numFmtId="0" fontId="2" fillId="0" borderId="12" xfId="0" applyFont="1" applyBorder="1" applyAlignment="1">
      <alignment horizontal="right"/>
    </xf>
    <xf numFmtId="0" fontId="2" fillId="0" borderId="13" xfId="0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9" xfId="0" applyFont="1" applyBorder="1" applyAlignment="1">
      <alignment horizontal="right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9" fillId="0" borderId="19" xfId="0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4" fillId="7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031E"/>
      <color rgb="FFFDF93D"/>
      <color rgb="FF6699FF"/>
      <color rgb="FFFF9933"/>
      <color rgb="FFCD9F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'Fees Receipt'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Students''s Database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521676</xdr:colOff>
      <xdr:row>19</xdr:row>
      <xdr:rowOff>128953</xdr:rowOff>
    </xdr:from>
    <xdr:to>
      <xdr:col>3</xdr:col>
      <xdr:colOff>310661</xdr:colOff>
      <xdr:row>23</xdr:row>
      <xdr:rowOff>82061</xdr:rowOff>
    </xdr:to>
    <xdr:sp macro="" textlink="">
      <xdr:nvSpPr>
        <xdr:cNvPr id="2" name="Arrow: Right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9BD660A-A2D1-1EA9-757E-0E892DFD4268}"/>
            </a:ext>
          </a:extLst>
        </xdr:cNvPr>
        <xdr:cNvSpPr/>
      </xdr:nvSpPr>
      <xdr:spPr>
        <a:xfrm>
          <a:off x="1049214" y="3610707"/>
          <a:ext cx="1758462" cy="679939"/>
        </a:xfrm>
        <a:prstGeom prst="rightArrow">
          <a:avLst/>
        </a:prstGeom>
        <a:solidFill>
          <a:srgbClr val="388600">
            <a:alpha val="90000"/>
          </a:srgbClr>
        </a:solidFill>
        <a:ln>
          <a:solidFill>
            <a:srgbClr val="7030A0"/>
          </a:solidFill>
        </a:ln>
        <a:scene3d>
          <a:camera prst="orthographicFront"/>
          <a:lightRig rig="threePt" dir="t"/>
        </a:scene3d>
        <a:sp3d extrusionH="76200">
          <a:bevelT w="152400" h="50800" prst="softRound"/>
          <a:extrusionClr>
            <a:srgbClr val="227ACB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400" b="1">
              <a:solidFill>
                <a:schemeClr val="bg1"/>
              </a:solidFill>
            </a:rPr>
            <a:t>Go</a:t>
          </a:r>
          <a:r>
            <a:rPr lang="en-IN" sz="1400" b="1" baseline="0">
              <a:solidFill>
                <a:schemeClr val="bg1"/>
              </a:solidFill>
            </a:rPr>
            <a:t> to Fees Receipt</a:t>
          </a:r>
          <a:endParaRPr lang="en-IN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5860</xdr:colOff>
      <xdr:row>12</xdr:row>
      <xdr:rowOff>123090</xdr:rowOff>
    </xdr:from>
    <xdr:to>
      <xdr:col>2</xdr:col>
      <xdr:colOff>64477</xdr:colOff>
      <xdr:row>15</xdr:row>
      <xdr:rowOff>117967</xdr:rowOff>
    </xdr:to>
    <xdr:sp macro="[0]!PrintReceiptDialo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1D87B60-5EBB-59A3-F152-331F6C8A57F0}"/>
            </a:ext>
          </a:extLst>
        </xdr:cNvPr>
        <xdr:cNvSpPr>
          <a:spLocks/>
        </xdr:cNvSpPr>
      </xdr:nvSpPr>
      <xdr:spPr>
        <a:xfrm>
          <a:off x="644768" y="2391505"/>
          <a:ext cx="1184032" cy="540000"/>
        </a:xfrm>
        <a:prstGeom prst="roundRect">
          <a:avLst>
            <a:gd name="adj" fmla="val 50000"/>
          </a:avLst>
        </a:prstGeom>
        <a:solidFill>
          <a:srgbClr val="7030A0"/>
        </a:solidFill>
        <a:scene3d>
          <a:camera prst="orthographicFront"/>
          <a:lightRig rig="threePt" dir="t"/>
        </a:scene3d>
        <a:sp3d>
          <a:bevelT prst="angle"/>
          <a:bevelB prst="relaxedIns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 i="0">
              <a:pattFill prst="pct5">
                <a:fgClr>
                  <a:schemeClr val="lt1"/>
                </a:fgClr>
                <a:bgClr>
                  <a:schemeClr val="bg1"/>
                </a:bgClr>
              </a:pattFill>
            </a:rPr>
            <a:t>PRINT</a:t>
          </a:r>
          <a:endParaRPr lang="en-IN" sz="1400" b="1" i="0">
            <a:pattFill prst="pct5">
              <a:fgClr>
                <a:schemeClr val="lt1"/>
              </a:fgClr>
              <a:bgClr>
                <a:schemeClr val="bg1"/>
              </a:bgClr>
            </a:pattFill>
          </a:endParaRPr>
        </a:p>
      </xdr:txBody>
    </xdr:sp>
    <xdr:clientData fPrintsWithSheet="0"/>
  </xdr:twoCellAnchor>
  <xdr:twoCellAnchor>
    <xdr:from>
      <xdr:col>2</xdr:col>
      <xdr:colOff>240324</xdr:colOff>
      <xdr:row>12</xdr:row>
      <xdr:rowOff>123091</xdr:rowOff>
    </xdr:from>
    <xdr:to>
      <xdr:col>5</xdr:col>
      <xdr:colOff>433752</xdr:colOff>
      <xdr:row>15</xdr:row>
      <xdr:rowOff>117968</xdr:rowOff>
    </xdr:to>
    <xdr:sp macro="[0]!SaveReceiptAsPDF_Dialo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B24478D4-8DCD-4A18-B806-64C29865F94B}"/>
            </a:ext>
          </a:extLst>
        </xdr:cNvPr>
        <xdr:cNvSpPr/>
      </xdr:nvSpPr>
      <xdr:spPr>
        <a:xfrm>
          <a:off x="2004647" y="2391506"/>
          <a:ext cx="1899136" cy="540000"/>
        </a:xfrm>
        <a:prstGeom prst="roundRect">
          <a:avLst>
            <a:gd name="adj" fmla="val 50000"/>
          </a:avLst>
        </a:prstGeom>
        <a:solidFill>
          <a:srgbClr val="C00000"/>
        </a:solidFill>
        <a:scene3d>
          <a:camera prst="orthographicFront"/>
          <a:lightRig rig="threePt" dir="t"/>
        </a:scene3d>
        <a:sp3d>
          <a:bevelT w="101600" prst="rible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DOWNLOAD ↓</a:t>
          </a:r>
        </a:p>
      </xdr:txBody>
    </xdr:sp>
    <xdr:clientData fPrintsWithSheet="0"/>
  </xdr:twoCellAnchor>
  <xdr:twoCellAnchor>
    <xdr:from>
      <xdr:col>5</xdr:col>
      <xdr:colOff>592014</xdr:colOff>
      <xdr:row>12</xdr:row>
      <xdr:rowOff>117227</xdr:rowOff>
    </xdr:from>
    <xdr:to>
      <xdr:col>7</xdr:col>
      <xdr:colOff>2259</xdr:colOff>
      <xdr:row>15</xdr:row>
      <xdr:rowOff>112104</xdr:rowOff>
    </xdr:to>
    <xdr:sp macro="[0]!Refresh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7D66314C-99CE-4534-8AA8-D35BD7ECAF41}"/>
            </a:ext>
          </a:extLst>
        </xdr:cNvPr>
        <xdr:cNvSpPr/>
      </xdr:nvSpPr>
      <xdr:spPr>
        <a:xfrm>
          <a:off x="4062045" y="2385642"/>
          <a:ext cx="1180429" cy="540000"/>
        </a:xfrm>
        <a:prstGeom prst="roundRect">
          <a:avLst>
            <a:gd name="adj" fmla="val 50000"/>
          </a:avLst>
        </a:prstGeom>
        <a:solidFill>
          <a:srgbClr val="FDF93D"/>
        </a:solidFill>
        <a:effectLst/>
        <a:scene3d>
          <a:camera prst="orthographicFront"/>
          <a:lightRig rig="threePt" dir="t"/>
        </a:scene3d>
        <a:sp3d extrusionH="76200">
          <a:bevelT prst="angle"/>
          <a:bevelB w="114300" prst="hardEdge"/>
          <a:extrusionClr>
            <a:srgbClr val="FDF93D"/>
          </a:extrusion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>
              <a:solidFill>
                <a:srgbClr val="C00000"/>
              </a:solidFill>
            </a:rPr>
            <a:t>REFRESH</a:t>
          </a:r>
          <a:endParaRPr lang="en-IN" sz="1800" b="1">
            <a:solidFill>
              <a:srgbClr val="C00000"/>
            </a:solidFill>
          </a:endParaRPr>
        </a:p>
      </xdr:txBody>
    </xdr:sp>
    <xdr:clientData fPrintsWithSheet="0"/>
  </xdr:twoCellAnchor>
  <xdr:twoCellAnchor>
    <xdr:from>
      <xdr:col>2</xdr:col>
      <xdr:colOff>93781</xdr:colOff>
      <xdr:row>16</xdr:row>
      <xdr:rowOff>35169</xdr:rowOff>
    </xdr:from>
    <xdr:to>
      <xdr:col>5</xdr:col>
      <xdr:colOff>550981</xdr:colOff>
      <xdr:row>20</xdr:row>
      <xdr:rowOff>164123</xdr:rowOff>
    </xdr:to>
    <xdr:sp macro="" textlink="">
      <xdr:nvSpPr>
        <xdr:cNvPr id="10" name="Arrow: Left 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B2A643-62EF-3127-377B-DFD45F8D03D1}"/>
            </a:ext>
          </a:extLst>
        </xdr:cNvPr>
        <xdr:cNvSpPr/>
      </xdr:nvSpPr>
      <xdr:spPr>
        <a:xfrm>
          <a:off x="1858104" y="3030415"/>
          <a:ext cx="2162908" cy="855785"/>
        </a:xfrm>
        <a:prstGeom prst="leftArrow">
          <a:avLst>
            <a:gd name="adj1" fmla="val 45890"/>
            <a:gd name="adj2" fmla="val 80823"/>
          </a:avLst>
        </a:prstGeom>
        <a:solidFill>
          <a:schemeClr val="accent2"/>
        </a:solidFill>
        <a:ln>
          <a:solidFill>
            <a:schemeClr val="accent1">
              <a:shade val="15000"/>
              <a:alpha val="99000"/>
            </a:schemeClr>
          </a:solidFill>
        </a:ln>
        <a:scene3d>
          <a:camera prst="perspectiveAbove" fov="0">
            <a:rot lat="19800000" lon="0" rev="0"/>
          </a:camera>
          <a:lightRig rig="threePt" dir="t">
            <a:rot lat="0" lon="0" rev="0"/>
          </a:lightRig>
        </a:scene3d>
        <a:sp3d extrusionH="76200" contourW="6350" prstMaterial="dkEdge">
          <a:bevelT w="165100" prst="coolSlant"/>
          <a:bevelB w="139700" prst="cross"/>
          <a:extrusionClr>
            <a:schemeClr val="bg1">
              <a:lumMod val="95000"/>
            </a:schemeClr>
          </a:extrusionClr>
          <a:contourClr>
            <a:srgbClr val="C00000"/>
          </a:contourClr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2000" b="1">
              <a:solidFill>
                <a:schemeClr val="accent1">
                  <a:lumMod val="50000"/>
                </a:schemeClr>
              </a:solidFill>
            </a:rPr>
            <a:t>DATABASE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9FACE-A767-408D-AE6D-AC2433ACAA7B}">
  <sheetPr codeName="Sheet1"/>
  <dimension ref="A1:S19"/>
  <sheetViews>
    <sheetView showGridLines="0" zoomScale="130" zoomScaleNormal="130" workbookViewId="0">
      <pane xSplit="5" ySplit="3" topLeftCell="H4" activePane="bottomRight" state="frozen"/>
      <selection pane="topRight" activeCell="F1" sqref="F1"/>
      <selection pane="bottomLeft" activeCell="A4" sqref="A4"/>
      <selection pane="bottomRight" activeCell="F8" sqref="F8"/>
    </sheetView>
  </sheetViews>
  <sheetFormatPr defaultRowHeight="14.4" x14ac:dyDescent="0.3"/>
  <cols>
    <col min="1" max="1" width="7.6640625" bestFit="1" customWidth="1"/>
    <col min="2" max="2" width="13.21875" bestFit="1" customWidth="1"/>
    <col min="3" max="3" width="15.44140625" bestFit="1" customWidth="1"/>
    <col min="4" max="4" width="7.77734375" bestFit="1" customWidth="1"/>
    <col min="5" max="5" width="10.88671875" bestFit="1" customWidth="1"/>
    <col min="6" max="6" width="6" bestFit="1" customWidth="1"/>
    <col min="7" max="7" width="4.77734375" bestFit="1" customWidth="1"/>
    <col min="8" max="8" width="4.88671875" bestFit="1" customWidth="1"/>
    <col min="9" max="9" width="4.21875" bestFit="1" customWidth="1"/>
    <col min="10" max="10" width="6.88671875" bestFit="1" customWidth="1"/>
    <col min="11" max="11" width="10.21875" bestFit="1" customWidth="1"/>
    <col min="12" max="12" width="7.77734375" bestFit="1" customWidth="1"/>
    <col min="13" max="13" width="9.88671875" bestFit="1" customWidth="1"/>
    <col min="14" max="14" width="9.5546875" bestFit="1" customWidth="1"/>
    <col min="15" max="15" width="7.5546875" bestFit="1" customWidth="1"/>
    <col min="16" max="16" width="8.44140625" bestFit="1" customWidth="1"/>
    <col min="17" max="17" width="6.44140625" bestFit="1" customWidth="1"/>
    <col min="18" max="18" width="13.21875" bestFit="1" customWidth="1"/>
    <col min="19" max="19" width="14.109375" bestFit="1" customWidth="1"/>
  </cols>
  <sheetData>
    <row r="1" spans="1:19" ht="14.4" customHeight="1" x14ac:dyDescent="0.3">
      <c r="A1" s="37" t="s">
        <v>50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</row>
    <row r="2" spans="1:19" ht="15" customHeight="1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</row>
    <row r="3" spans="1:19" ht="15.6" x14ac:dyDescent="0.3">
      <c r="A3" s="38" t="s">
        <v>51</v>
      </c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</row>
    <row r="4" spans="1:19" x14ac:dyDescent="0.3">
      <c r="A4" s="9" t="s">
        <v>0</v>
      </c>
      <c r="B4" s="9" t="s">
        <v>41</v>
      </c>
      <c r="C4" s="9" t="s">
        <v>1</v>
      </c>
      <c r="D4" s="9" t="s">
        <v>2</v>
      </c>
      <c r="E4" s="9" t="s">
        <v>3</v>
      </c>
      <c r="F4" s="9" t="s">
        <v>4</v>
      </c>
      <c r="G4" s="9" t="s">
        <v>5</v>
      </c>
      <c r="H4" s="9" t="s">
        <v>6</v>
      </c>
      <c r="I4" s="9" t="s">
        <v>7</v>
      </c>
      <c r="J4" s="9" t="s">
        <v>8</v>
      </c>
      <c r="K4" s="9" t="s">
        <v>9</v>
      </c>
      <c r="L4" s="9" t="s">
        <v>10</v>
      </c>
      <c r="M4" s="9" t="s">
        <v>11</v>
      </c>
      <c r="N4" s="9" t="s">
        <v>12</v>
      </c>
      <c r="O4" s="9" t="s">
        <v>13</v>
      </c>
      <c r="P4" s="9" t="s">
        <v>14</v>
      </c>
      <c r="Q4" s="9" t="s">
        <v>15</v>
      </c>
      <c r="R4" s="9" t="s">
        <v>16</v>
      </c>
      <c r="S4" s="9" t="s">
        <v>17</v>
      </c>
    </row>
    <row r="5" spans="1:19" x14ac:dyDescent="0.3">
      <c r="A5" s="10" t="s">
        <v>18</v>
      </c>
      <c r="B5" s="3" t="s">
        <v>33</v>
      </c>
      <c r="C5" s="3" t="s">
        <v>34</v>
      </c>
      <c r="D5" s="3" t="s">
        <v>35</v>
      </c>
      <c r="E5" s="3">
        <f>IF(D5="DS",55000,IF(D5="DA",45000,IF(D5="Excel",12000,IF(D5="SQL",25000,IF(D5="DotNet",30000,IF(D5="AutoCad",35000,""))))))</f>
        <v>35000</v>
      </c>
      <c r="F5" s="3">
        <v>5000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>
        <f>IFERROR(SUM(F5:Q5),"")</f>
        <v>5000</v>
      </c>
      <c r="S5" s="3">
        <f>IFERROR(E5-R5,"")</f>
        <v>30000</v>
      </c>
    </row>
    <row r="6" spans="1:19" x14ac:dyDescent="0.3">
      <c r="A6" s="10" t="s">
        <v>19</v>
      </c>
      <c r="B6" s="3" t="s">
        <v>48</v>
      </c>
      <c r="C6" s="3" t="s">
        <v>49</v>
      </c>
      <c r="D6" s="3" t="s">
        <v>47</v>
      </c>
      <c r="E6" s="3">
        <f t="shared" ref="E6:E19" si="0">IF(D6="DS",55000,IF(D6="DA",45000,IF(D6="Excel",12000,IF(D6="SQL",25000,IF(D6="DotNet",30000,IF(D6="AutoCad",35000,""))))))</f>
        <v>55000</v>
      </c>
      <c r="F6" s="3">
        <v>5500</v>
      </c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>
        <f t="shared" ref="R6:R19" si="1">IFERROR(SUM(F6:Q6),"")</f>
        <v>5500</v>
      </c>
      <c r="S6" s="3">
        <f t="shared" ref="S6:S19" si="2">IFERROR(E6-R6,"")</f>
        <v>49500</v>
      </c>
    </row>
    <row r="7" spans="1:19" x14ac:dyDescent="0.3">
      <c r="A7" s="10" t="s">
        <v>20</v>
      </c>
      <c r="B7" s="3" t="s">
        <v>52</v>
      </c>
      <c r="C7" s="3" t="s">
        <v>53</v>
      </c>
      <c r="D7" s="3" t="s">
        <v>54</v>
      </c>
      <c r="E7" s="3">
        <f t="shared" si="0"/>
        <v>25000</v>
      </c>
      <c r="F7" s="3">
        <v>10000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>
        <f t="shared" si="1"/>
        <v>10000</v>
      </c>
      <c r="S7" s="3">
        <f t="shared" si="2"/>
        <v>15000</v>
      </c>
    </row>
    <row r="8" spans="1:19" x14ac:dyDescent="0.3">
      <c r="A8" s="10" t="s">
        <v>21</v>
      </c>
      <c r="B8" s="3"/>
      <c r="C8" s="3"/>
      <c r="D8" s="3"/>
      <c r="E8" s="3" t="str">
        <f t="shared" si="0"/>
        <v/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>
        <f t="shared" si="1"/>
        <v>0</v>
      </c>
      <c r="S8" s="3" t="str">
        <f t="shared" si="2"/>
        <v/>
      </c>
    </row>
    <row r="9" spans="1:19" x14ac:dyDescent="0.3">
      <c r="A9" s="10" t="s">
        <v>22</v>
      </c>
      <c r="B9" s="3"/>
      <c r="C9" s="3"/>
      <c r="D9" s="3"/>
      <c r="E9" s="3" t="str">
        <f t="shared" si="0"/>
        <v/>
      </c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>
        <f t="shared" si="1"/>
        <v>0</v>
      </c>
      <c r="S9" s="3" t="str">
        <f t="shared" si="2"/>
        <v/>
      </c>
    </row>
    <row r="10" spans="1:19" x14ac:dyDescent="0.3">
      <c r="A10" s="10" t="s">
        <v>23</v>
      </c>
      <c r="B10" s="3"/>
      <c r="C10" s="3"/>
      <c r="D10" s="3"/>
      <c r="E10" s="3" t="str">
        <f t="shared" si="0"/>
        <v/>
      </c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>
        <f t="shared" si="1"/>
        <v>0</v>
      </c>
      <c r="S10" s="3" t="str">
        <f t="shared" si="2"/>
        <v/>
      </c>
    </row>
    <row r="11" spans="1:19" x14ac:dyDescent="0.3">
      <c r="A11" s="10" t="s">
        <v>24</v>
      </c>
      <c r="B11" s="3"/>
      <c r="C11" s="3"/>
      <c r="D11" s="3"/>
      <c r="E11" s="3" t="str">
        <f t="shared" si="0"/>
        <v/>
      </c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>
        <f t="shared" si="1"/>
        <v>0</v>
      </c>
      <c r="S11" s="3" t="str">
        <f t="shared" si="2"/>
        <v/>
      </c>
    </row>
    <row r="12" spans="1:19" x14ac:dyDescent="0.3">
      <c r="A12" s="10" t="s">
        <v>25</v>
      </c>
      <c r="B12" s="3"/>
      <c r="C12" s="3"/>
      <c r="D12" s="3"/>
      <c r="E12" s="3" t="str">
        <f t="shared" si="0"/>
        <v/>
      </c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>
        <f t="shared" si="1"/>
        <v>0</v>
      </c>
      <c r="S12" s="3" t="str">
        <f t="shared" si="2"/>
        <v/>
      </c>
    </row>
    <row r="13" spans="1:19" x14ac:dyDescent="0.3">
      <c r="A13" s="10" t="s">
        <v>26</v>
      </c>
      <c r="B13" s="3"/>
      <c r="C13" s="3"/>
      <c r="D13" s="3"/>
      <c r="E13" s="3" t="str">
        <f t="shared" si="0"/>
        <v/>
      </c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>
        <f t="shared" si="1"/>
        <v>0</v>
      </c>
      <c r="S13" s="3" t="str">
        <f t="shared" si="2"/>
        <v/>
      </c>
    </row>
    <row r="14" spans="1:19" x14ac:dyDescent="0.3">
      <c r="A14" s="10" t="s">
        <v>27</v>
      </c>
      <c r="B14" s="3"/>
      <c r="C14" s="3"/>
      <c r="D14" s="3"/>
      <c r="E14" s="3" t="str">
        <f t="shared" si="0"/>
        <v/>
      </c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>
        <f t="shared" si="1"/>
        <v>0</v>
      </c>
      <c r="S14" s="3" t="str">
        <f t="shared" si="2"/>
        <v/>
      </c>
    </row>
    <row r="15" spans="1:19" x14ac:dyDescent="0.3">
      <c r="A15" s="10" t="s">
        <v>28</v>
      </c>
      <c r="B15" s="1"/>
      <c r="C15" s="1"/>
      <c r="D15" s="3"/>
      <c r="E15" s="3" t="str">
        <f t="shared" si="0"/>
        <v/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3">
        <f t="shared" si="1"/>
        <v>0</v>
      </c>
      <c r="S15" s="3" t="str">
        <f t="shared" si="2"/>
        <v/>
      </c>
    </row>
    <row r="16" spans="1:19" x14ac:dyDescent="0.3">
      <c r="A16" s="10" t="s">
        <v>29</v>
      </c>
      <c r="B16" s="1"/>
      <c r="C16" s="1"/>
      <c r="D16" s="3"/>
      <c r="E16" s="3" t="str">
        <f t="shared" si="0"/>
        <v/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3">
        <f t="shared" si="1"/>
        <v>0</v>
      </c>
      <c r="S16" s="3" t="str">
        <f t="shared" si="2"/>
        <v/>
      </c>
    </row>
    <row r="17" spans="1:19" x14ac:dyDescent="0.3">
      <c r="A17" s="10" t="s">
        <v>30</v>
      </c>
      <c r="B17" s="1"/>
      <c r="C17" s="1"/>
      <c r="D17" s="3"/>
      <c r="E17" s="3" t="str">
        <f t="shared" si="0"/>
        <v/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3">
        <f t="shared" si="1"/>
        <v>0</v>
      </c>
      <c r="S17" s="3" t="str">
        <f t="shared" si="2"/>
        <v/>
      </c>
    </row>
    <row r="18" spans="1:19" x14ac:dyDescent="0.3">
      <c r="A18" s="10" t="s">
        <v>31</v>
      </c>
      <c r="B18" s="1"/>
      <c r="C18" s="1"/>
      <c r="D18" s="3"/>
      <c r="E18" s="3" t="str">
        <f t="shared" si="0"/>
        <v/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3">
        <f t="shared" si="1"/>
        <v>0</v>
      </c>
      <c r="S18" s="3" t="str">
        <f t="shared" si="2"/>
        <v/>
      </c>
    </row>
    <row r="19" spans="1:19" x14ac:dyDescent="0.3">
      <c r="A19" s="10" t="s">
        <v>32</v>
      </c>
      <c r="B19" s="1"/>
      <c r="C19" s="1"/>
      <c r="D19" s="3"/>
      <c r="E19" s="3" t="str">
        <f t="shared" si="0"/>
        <v/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3">
        <f t="shared" si="1"/>
        <v>0</v>
      </c>
      <c r="S19" s="3" t="str">
        <f t="shared" si="2"/>
        <v/>
      </c>
    </row>
  </sheetData>
  <mergeCells count="2">
    <mergeCell ref="A1:S2"/>
    <mergeCell ref="A3:S3"/>
  </mergeCells>
  <phoneticPr fontId="3" type="noConversion"/>
  <dataValidations count="1">
    <dataValidation type="list" allowBlank="1" showInputMessage="1" showErrorMessage="1" sqref="D5:D19" xr:uid="{4A4DA9A4-D2E0-4985-A1F9-5CB0C1E969AF}">
      <formula1>"DS,DA,Excel,SQL,DotNet,Autocad"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2D7FB-406E-4319-B3F0-B0DA045E22C8}">
  <sheetPr codeName="Sheet2"/>
  <dimension ref="B1:G12"/>
  <sheetViews>
    <sheetView showGridLines="0" tabSelected="1" view="pageLayout" topLeftCell="A7" zoomScale="130" zoomScaleNormal="100" zoomScalePageLayoutView="130" workbookViewId="0">
      <selection activeCell="H5" sqref="H4:H5"/>
    </sheetView>
  </sheetViews>
  <sheetFormatPr defaultRowHeight="14.4" x14ac:dyDescent="0.3"/>
  <cols>
    <col min="2" max="2" width="15.77734375" bestFit="1" customWidth="1"/>
    <col min="4" max="4" width="6.77734375" bestFit="1" customWidth="1"/>
    <col min="5" max="5" width="8.109375" bestFit="1" customWidth="1"/>
    <col min="6" max="6" width="14" bestFit="1" customWidth="1"/>
    <col min="7" max="7" width="10.6640625" bestFit="1" customWidth="1"/>
  </cols>
  <sheetData>
    <row r="1" spans="2:7" ht="15" hidden="1" thickBot="1" x14ac:dyDescent="0.35"/>
    <row r="2" spans="2:7" ht="28.8" x14ac:dyDescent="0.3">
      <c r="B2" s="11" t="s">
        <v>36</v>
      </c>
      <c r="C2" s="12"/>
      <c r="D2" s="12"/>
      <c r="E2" s="12"/>
      <c r="F2" s="12"/>
      <c r="G2" s="13"/>
    </row>
    <row r="3" spans="2:7" ht="18" x14ac:dyDescent="0.3">
      <c r="B3" s="14" t="s">
        <v>38</v>
      </c>
      <c r="C3" s="15"/>
      <c r="D3" s="15"/>
      <c r="E3" s="15"/>
      <c r="F3" s="15"/>
      <c r="G3" s="16"/>
    </row>
    <row r="4" spans="2:7" ht="15.6" x14ac:dyDescent="0.3">
      <c r="B4" s="17" t="s">
        <v>37</v>
      </c>
      <c r="C4" s="18"/>
      <c r="D4" s="18"/>
      <c r="E4" s="18"/>
      <c r="F4" s="18"/>
      <c r="G4" s="19"/>
    </row>
    <row r="5" spans="2:7" x14ac:dyDescent="0.3">
      <c r="B5" s="6" t="s">
        <v>39</v>
      </c>
      <c r="C5" s="2"/>
      <c r="D5" s="8" t="s">
        <v>2</v>
      </c>
      <c r="E5" s="2" t="str">
        <f>IFERROR(VLOOKUP(C5,student,MATCH(D5,field,0),FALSE),"")</f>
        <v/>
      </c>
      <c r="F5" s="8" t="s">
        <v>40</v>
      </c>
      <c r="G5" s="4" t="str">
        <f ca="1">IF(C5="","",TODAY())</f>
        <v/>
      </c>
    </row>
    <row r="6" spans="2:7" x14ac:dyDescent="0.3">
      <c r="B6" s="6" t="s">
        <v>41</v>
      </c>
      <c r="C6" s="29" t="str">
        <f>IFERROR(VLOOKUP(C5,student,MATCH(B6,field,0),FALSE),"")</f>
        <v/>
      </c>
      <c r="D6" s="29"/>
      <c r="E6" s="29"/>
      <c r="F6" s="8" t="s">
        <v>42</v>
      </c>
      <c r="G6" s="5"/>
    </row>
    <row r="7" spans="2:7" x14ac:dyDescent="0.3">
      <c r="B7" s="6" t="s">
        <v>1</v>
      </c>
      <c r="C7" s="29" t="str">
        <f>IFERROR(VLOOKUP(C5,student,MATCH(B7,field,0),FALSE),"")</f>
        <v/>
      </c>
      <c r="D7" s="29"/>
      <c r="E7" s="29"/>
      <c r="F7" s="8" t="s">
        <v>3</v>
      </c>
      <c r="G7" s="5" t="str">
        <f>IFERROR(VLOOKUP(C5,student,MATCH(F7,field,0),FALSE),"")</f>
        <v/>
      </c>
    </row>
    <row r="8" spans="2:7" x14ac:dyDescent="0.3">
      <c r="B8" s="30" t="s">
        <v>43</v>
      </c>
      <c r="C8" s="33" t="str">
        <f>IFERROR(VLOOKUP(C5,student,MATCH(G6,field,0),FALSE),"")</f>
        <v/>
      </c>
      <c r="D8" s="34"/>
      <c r="E8" s="31" t="s">
        <v>44</v>
      </c>
      <c r="F8" s="8" t="s">
        <v>16</v>
      </c>
      <c r="G8" s="5" t="str">
        <f>IFERROR(VLOOKUP(C5,student,MATCH(F8,field,0),FALSE),"")</f>
        <v/>
      </c>
    </row>
    <row r="9" spans="2:7" x14ac:dyDescent="0.3">
      <c r="B9" s="30"/>
      <c r="C9" s="35"/>
      <c r="D9" s="36"/>
      <c r="E9" s="32"/>
      <c r="F9" s="8" t="s">
        <v>17</v>
      </c>
      <c r="G9" s="5" t="str">
        <f>IFERROR(VLOOKUP(C5,student,MATCH(F9,field,0),FALSE),"")</f>
        <v/>
      </c>
    </row>
    <row r="10" spans="2:7" ht="15" thickBot="1" x14ac:dyDescent="0.35">
      <c r="B10" s="7" t="s">
        <v>45</v>
      </c>
      <c r="C10" s="26" t="str" cm="1">
        <f t="array" ref="C10">IFERROR(VBAProject.Module2.NumToWords(C8),"")</f>
        <v/>
      </c>
      <c r="D10" s="27"/>
      <c r="E10" s="27"/>
      <c r="F10" s="27"/>
      <c r="G10" s="28"/>
    </row>
    <row r="11" spans="2:7" x14ac:dyDescent="0.3">
      <c r="B11" s="20" t="s">
        <v>46</v>
      </c>
      <c r="C11" s="21"/>
      <c r="D11" s="21"/>
      <c r="E11" s="21"/>
      <c r="F11" s="21"/>
      <c r="G11" s="22"/>
    </row>
    <row r="12" spans="2:7" ht="15" thickBot="1" x14ac:dyDescent="0.35">
      <c r="B12" s="23"/>
      <c r="C12" s="24"/>
      <c r="D12" s="24"/>
      <c r="E12" s="24"/>
      <c r="F12" s="24"/>
      <c r="G12" s="25"/>
    </row>
  </sheetData>
  <mergeCells count="10">
    <mergeCell ref="B2:G2"/>
    <mergeCell ref="B3:G3"/>
    <mergeCell ref="B4:G4"/>
    <mergeCell ref="B11:G12"/>
    <mergeCell ref="C10:G10"/>
    <mergeCell ref="C6:E6"/>
    <mergeCell ref="C7:E7"/>
    <mergeCell ref="B8:B9"/>
    <mergeCell ref="E8:E9"/>
    <mergeCell ref="C8:D9"/>
  </mergeCells>
  <pageMargins left="0.7" right="0.7" top="0.75" bottom="0.75" header="0.3" footer="0.3"/>
  <pageSetup paperSize="13" orientation="landscape" r:id="rId1"/>
  <headerFooter>
    <oddHeader xml:space="preserve">&amp;L
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B23C3BA-4279-4B88-8427-D4C03C077A27}">
          <x14:formula1>
            <xm:f>'Students''s Database'!$A$5:$A$19</xm:f>
          </x14:formula1>
          <xm:sqref>C5</xm:sqref>
        </x14:dataValidation>
        <x14:dataValidation type="list" allowBlank="1" showInputMessage="1" showErrorMessage="1" xr:uid="{E9D19E8F-ED8B-4010-B061-8B0DEB7EC1AF}">
          <x14:formula1>
            <xm:f>'Students''s Database'!$F$4:$Q$4</xm:f>
          </x14:formula1>
          <xm:sqref>G6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Students's Database</vt:lpstr>
      <vt:lpstr>Fees Receipt</vt:lpstr>
      <vt:lpstr>field</vt:lpstr>
      <vt:lpstr>'Fees Receipt'!Print_Area</vt:lpstr>
      <vt:lpstr>student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NUKUL SINGH</dc:creator>
  <cp:lastModifiedBy>NUKUL SINGH</cp:lastModifiedBy>
  <cp:lastPrinted>2026-02-21T15:54:24Z</cp:lastPrinted>
  <dcterms:created xsi:type="dcterms:W3CDTF">2026-02-20T16:44:03Z</dcterms:created>
  <dcterms:modified xsi:type="dcterms:W3CDTF">2026-02-21T15:58:14Z</dcterms:modified>
</cp:coreProperties>
</file>